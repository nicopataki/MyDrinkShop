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defaultThemeVersion="124226"/>
  <xr:revisionPtr revIDLastSave="0" documentId="13_ncr:1_{B145F4B0-1BE9-407B-BAAB-36CBA32E9E69}" xr6:coauthVersionLast="47" xr6:coauthVersionMax="47" xr10:uidLastSave="{00000000-0000-0000-0000-000000000000}"/>
  <bookViews>
    <workbookView xWindow="-28920" yWindow="-120" windowWidth="29040" windowHeight="16440" activeTab="3" xr2:uid="{00000000-000D-0000-FFFF-FFFF00000000}"/>
  </bookViews>
  <sheets>
    <sheet name="Statement" sheetId="1" r:id="rId1"/>
    <sheet name="F02.CFG-Paths" sheetId="10" r:id="rId2"/>
    <sheet name="F02.TCs" sheetId="11" r:id="rId3"/>
    <sheet name="W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4" l="1"/>
  <c r="I18" i="4"/>
</calcChain>
</file>

<file path=xl/sharedStrings.xml><?xml version="1.0" encoding="utf-8"?>
<sst xmlns="http://schemas.openxmlformats.org/spreadsheetml/2006/main" count="250" uniqueCount="148">
  <si>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</si>
  <si>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</si>
  <si>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</si>
  <si>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</si>
  <si>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</si>
  <si>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</si>
  <si>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</si>
  <si>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</si>
  <si>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</si>
  <si>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</si>
  <si>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Student 2:</t>
  </si>
  <si>
    <t>Student 3:</t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</si>
  <si>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</si>
  <si>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</si>
  <si>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</si>
  <si>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</si>
  <si>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</si>
  <si>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</si>
  <si>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CC1 = No. of regions =</t>
  </si>
  <si>
    <t>…</t>
  </si>
  <si>
    <t>Req02_L01</t>
  </si>
  <si>
    <t>Req02_L02</t>
  </si>
  <si>
    <t>&lt;Req02 CFG &gt;</t>
  </si>
  <si>
    <t>Predicate+1</t>
  </si>
  <si>
    <t>Req02_L03</t>
  </si>
  <si>
    <t>...</t>
  </si>
  <si>
    <t>..</t>
  </si>
  <si>
    <t>F02. Individual Paths</t>
  </si>
  <si>
    <t>Path No.</t>
  </si>
  <si>
    <t>Path</t>
  </si>
  <si>
    <t>F02_P01</t>
  </si>
  <si>
    <t>F02_P02</t>
  </si>
  <si>
    <t>F02_P03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</si>
  <si>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</si>
  <si>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</si>
  <si>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</si>
  <si>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</si>
  <si>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</si>
  <si>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</si>
  <si>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</si>
  <si>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</si>
  <si>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n-1</t>
  </si>
  <si>
    <t>n</t>
  </si>
  <si>
    <t>n+1</t>
  </si>
  <si>
    <t>m&lt;n</t>
  </si>
  <si>
    <t>T</t>
  </si>
  <si>
    <t>F</t>
  </si>
  <si>
    <t>F02_TC01</t>
  </si>
  <si>
    <t>WBT Implemented TCs</t>
  </si>
  <si>
    <t>Final        TC No.</t>
  </si>
  <si>
    <t>Req. ID</t>
  </si>
  <si>
    <t>TC No</t>
  </si>
  <si>
    <t>input data</t>
  </si>
  <si>
    <t>output data</t>
  </si>
  <si>
    <t>expected</t>
  </si>
  <si>
    <t>actual result</t>
  </si>
  <si>
    <t>F02</t>
  </si>
  <si>
    <t>F02_TC02</t>
  </si>
  <si>
    <t>Statistics</t>
  </si>
  <si>
    <t>Testare</t>
  </si>
  <si>
    <t>Depanare</t>
  </si>
  <si>
    <t>Re-testare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</si>
  <si>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</si>
  <si>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</si>
  <si>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</si>
  <si>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</si>
  <si>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</si>
  <si>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</si>
  <si>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#Bugs Fixed </t>
    </r>
    <r>
      <rPr>
        <b/>
        <i/>
        <sz val="8"/>
        <color indexed="8"/>
        <rFont val="Calibri"/>
        <family val="2"/>
      </rPr>
      <t>[se va completa cu 'da' dupa depanare]</t>
    </r>
  </si>
  <si>
    <r>
      <rPr>
        <b/>
        <sz val="11"/>
        <color indexed="8"/>
        <rFont val="Calibri"/>
        <family val="2"/>
      </rPr>
      <t xml:space="preserve">Re-testare </t>
    </r>
    <r>
      <rPr>
        <i/>
        <sz val="8"/>
        <color indexed="8"/>
        <rFont val="Calibri"/>
        <family val="2"/>
      </rPr>
      <t>[se va completa cu 'da' dupa retestare]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</si>
  <si>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</si>
  <si>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</si>
  <si>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</si>
  <si>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</si>
  <si>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nu</t>
  </si>
  <si>
    <t>Pintilie Stefan-Gabriel</t>
  </si>
  <si>
    <t>Pataki Nicoleta-Denisa</t>
  </si>
  <si>
    <t>Pop Larisa</t>
  </si>
  <si>
    <t>1. Gestiunea produselor (bauturilor) din MyDrinkShop</t>
  </si>
  <si>
    <t>Aplicatia MyDrinkShop gestioneaza produse, ingrediente, retete si comenzi. Datele sunt incarcate din fisiere text la pornirea aplicatiei.</t>
  </si>
  <si>
    <r>
      <rPr>
        <b/>
        <sz val="11"/>
        <color indexed="8"/>
        <rFont val="Calibri"/>
        <family val="2"/>
      </rPr>
      <t>F02.</t>
    </r>
    <r>
      <rPr>
        <sz val="11"/>
        <color indexed="8"/>
        <rFont val="Calibri"/>
        <family val="2"/>
      </rPr>
      <t xml:space="preserve"> Scade din stoc ingredientele necesare pentru o rețetă.</t>
    </r>
  </si>
  <si>
    <r>
      <rPr>
        <b/>
        <sz val="11"/>
        <color indexed="8"/>
        <rFont val="Calibri"/>
        <family val="2"/>
      </rPr>
      <t xml:space="preserve">F02. </t>
    </r>
    <r>
      <rPr>
        <sz val="11"/>
        <color indexed="8"/>
        <rFont val="Calibri"/>
        <family val="2"/>
      </rPr>
      <t>Scăderea din stoc a ingredientelor necesare pentru o rețetă.</t>
    </r>
  </si>
  <si>
    <t>CC2 = Edges - Nodes + 2 = 19-14+2</t>
  </si>
  <si>
    <t>CC3 = No. of Conditions + 1 = 6+1</t>
  </si>
  <si>
    <t>0 - 1(T) - 2 - 14</t>
  </si>
  <si>
    <t>0 - 1(F) - 3(T) - 4 - 5(T) - 6(T) - 7 - 5(F) - 8 - 9(T) - 10(T) - 11 - 3(F) - 14</t>
  </si>
  <si>
    <t>0 - 1(F) - 3(F) - 14</t>
  </si>
  <si>
    <t>F02_P04</t>
  </si>
  <si>
    <t>F02_P05</t>
  </si>
  <si>
    <t>F02_P06</t>
  </si>
  <si>
    <t>F02_P07</t>
  </si>
  <si>
    <t>0 - 1(F) - 3(T) - 4 - 5(F) - 8 - 9(F) - 3(F) - 14</t>
  </si>
  <si>
    <t>0 - 1(F) - 3(T) - 4 - 5(F) - 8 - 9(T) -10(T) - 11  - 3(F) - 14</t>
  </si>
  <si>
    <t>0 - 1(F) - 3(T) - 4 - 5(T) - 6(F) - 5(F) - 8 - 9(T) - 10(T) - 11 - 3(F) - 14</t>
  </si>
  <si>
    <t>0 - 1(F) - 3(T) - 4 - 5(F) - 8 - 9(T) -10(F) - 12 - 9(F) - 3(F) - 14</t>
  </si>
  <si>
    <t>F02. Scăderea din stoc a ingredientelor necesare pentru o rețetă.</t>
  </si>
  <si>
    <t>F02_TC03</t>
  </si>
  <si>
    <t>F02_TC04</t>
  </si>
  <si>
    <t>F02_TC05</t>
  </si>
  <si>
    <t>F02_TC06</t>
  </si>
  <si>
    <t>F02_TC07</t>
  </si>
  <si>
    <t>IllegalStateException</t>
  </si>
  <si>
    <t>reteta cu stoc insuficient</t>
  </si>
  <si>
    <t>ingredientStoc.add()</t>
  </si>
  <si>
    <t>0 , 1, 2 , 14</t>
  </si>
  <si>
    <t>X</t>
  </si>
  <si>
    <t>!areSuficient</t>
  </si>
  <si>
    <t>hasMoreIngredients</t>
  </si>
  <si>
    <t>isSameIngredient</t>
  </si>
  <si>
    <t>reteta fara ingrediente</t>
  </si>
  <si>
    <t>return / void</t>
  </si>
  <si>
    <t>0, 1, 3, 14</t>
  </si>
  <si>
    <t>x</t>
  </si>
  <si>
    <t>stoc actualizat</t>
  </si>
  <si>
    <t>cautare continuata</t>
  </si>
  <si>
    <t>reteta cu 2 ingrediente</t>
  </si>
  <si>
    <t>reteta standard</t>
  </si>
  <si>
    <t>ingredient negasit</t>
  </si>
  <si>
    <t>ingredient gasit in stoc</t>
  </si>
  <si>
    <t>cantitate insufienta</t>
  </si>
  <si>
    <t>scadere din 2 surse</t>
  </si>
  <si>
    <t>0, 1, 3, 4, 5, 8, 9, 3, 14</t>
  </si>
  <si>
    <t>0, 1, 3, 4, 5, 8, ,10, 11, 3, 14</t>
  </si>
  <si>
    <t>0, 1, 3, 4, 5, 6, 5, 8, 9, 10, 11, 3, 14</t>
  </si>
  <si>
    <t>0, 1, 3, 4, 5, 6, 7,  5, 8, 9, 10, 11, 3, 14</t>
  </si>
  <si>
    <t>0, 1, 3, 4, 5, 8, 9,10, 12 ,9, 3, 14</t>
  </si>
  <si>
    <t>ramas&lt;=0</t>
  </si>
  <si>
    <t>Reteta: zahar = 100000</t>
  </si>
  <si>
    <t>Stoc initial: zahar = 2000</t>
  </si>
  <si>
    <t>Stoc: nu contine ingredientul</t>
  </si>
  <si>
    <t>Cantitate zahar scade cu 5</t>
  </si>
  <si>
    <t>Scade cantitatea din mai multe surse</t>
  </si>
  <si>
    <t>Executa break (ramas &lt;= 0)</t>
  </si>
  <si>
    <t>Prima iteratie fara break, apoi break</t>
  </si>
  <si>
    <t>Corect</t>
  </si>
  <si>
    <t>Scade cantitatea pentru ambele ingrediente</t>
  </si>
  <si>
    <t>Reteta: zahar = 5</t>
  </si>
  <si>
    <t>Reteta: zahar = 600</t>
  </si>
  <si>
    <t>Stoc: zahar din mai multe intrari</t>
  </si>
  <si>
    <t>Reteta: zahar = 1</t>
  </si>
  <si>
    <t>Stoc: zahar suficient</t>
  </si>
  <si>
    <t>Reteta: zahar = 1500</t>
  </si>
  <si>
    <t>Stoc: 2 surse zahar (1000 + 1000)</t>
  </si>
  <si>
    <t>Reteta: zahar = 5, lapte = 5</t>
  </si>
  <si>
    <t>Stoc: ambele ingrediente disponibile</t>
  </si>
  <si>
    <t>Nu arunca exceptie; Nu modifica stocul</t>
  </si>
  <si>
    <t>Nu modifica stocul</t>
  </si>
  <si>
    <t>Reteta: ingredient = / , cantitate =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</si>
</sst>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3" xfId="0" applyFont="1" applyBorder="1"/>
    <xf numFmtId="0" fontId="10" fillId="2" borderId="4" xfId="0" applyFont="1" applyFill="1" applyBorder="1" applyAlignment="1">
      <alignment horizontal="center"/>
    </xf>
    <xf numFmtId="0" fontId="11" fillId="2" borderId="4" xfId="0" applyFont="1" applyFill="1" applyBorder="1"/>
    <xf numFmtId="0" fontId="10" fillId="2" borderId="5" xfId="0" applyFont="1" applyFill="1" applyBorder="1"/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/>
    <xf numFmtId="0" fontId="13" fillId="3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14" fillId="0" borderId="8" xfId="0" applyFont="1" applyBorder="1" applyAlignment="1">
      <alignment horizontal="left" vertical="center" wrapText="1"/>
    </xf>
    <xf numFmtId="0" fontId="14" fillId="4" borderId="8" xfId="0" applyFont="1" applyFill="1" applyBorder="1" applyAlignment="1">
      <alignment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vertical="center" wrapText="1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0" xfId="0" applyFont="1"/>
    <xf numFmtId="0" fontId="0" fillId="2" borderId="8" xfId="0" applyFill="1" applyBorder="1"/>
    <xf numFmtId="0" fontId="0" fillId="2" borderId="10" xfId="0" applyFill="1" applyBorder="1"/>
    <xf numFmtId="0" fontId="0" fillId="0" borderId="8" xfId="0" applyBorder="1"/>
    <xf numFmtId="0" fontId="0" fillId="2" borderId="11" xfId="0" applyFill="1" applyBorder="1"/>
    <xf numFmtId="0" fontId="0" fillId="7" borderId="10" xfId="0" applyFill="1" applyBorder="1"/>
    <xf numFmtId="0" fontId="0" fillId="2" borderId="12" xfId="0" applyFill="1" applyBorder="1"/>
    <xf numFmtId="0" fontId="7" fillId="8" borderId="0" xfId="0" applyFont="1" applyFill="1" applyAlignment="1">
      <alignment horizontal="center"/>
    </xf>
    <xf numFmtId="0" fontId="7" fillId="9" borderId="8" xfId="0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5" fillId="0" borderId="0" xfId="0" applyFont="1"/>
    <xf numFmtId="0" fontId="16" fillId="0" borderId="0" xfId="0" applyFont="1"/>
    <xf numFmtId="0" fontId="7" fillId="0" borderId="29" xfId="0" applyFont="1" applyBorder="1" applyAlignment="1">
      <alignment horizontal="center" vertical="center"/>
    </xf>
    <xf numFmtId="0" fontId="0" fillId="0" borderId="7" xfId="0" applyBorder="1"/>
    <xf numFmtId="0" fontId="17" fillId="0" borderId="8" xfId="0" applyFont="1" applyBorder="1" applyAlignment="1">
      <alignment horizontal="left" vertical="center" wrapText="1"/>
    </xf>
    <xf numFmtId="0" fontId="17" fillId="0" borderId="8" xfId="0" applyFont="1" applyBorder="1" applyAlignment="1">
      <alignment vertical="center" wrapText="1"/>
    </xf>
    <xf numFmtId="0" fontId="7" fillId="12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9" fontId="0" fillId="7" borderId="8" xfId="0" applyNumberFormat="1" applyFill="1" applyBorder="1"/>
    <xf numFmtId="0" fontId="7" fillId="0" borderId="20" xfId="0" applyFont="1" applyBorder="1" applyAlignment="1">
      <alignment horizontal="center" vertical="center"/>
    </xf>
    <xf numFmtId="0" fontId="0" fillId="0" borderId="8" xfId="0" applyBorder="1" applyAlignment="1">
      <alignment wrapText="1"/>
    </xf>
    <xf numFmtId="0" fontId="0" fillId="0" borderId="8" xfId="0" applyBorder="1" applyAlignment="1">
      <alignment horizontal="center" vertical="center"/>
    </xf>
    <xf numFmtId="0" fontId="13" fillId="0" borderId="20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/>
    </xf>
    <xf numFmtId="0" fontId="7" fillId="8" borderId="13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2" fillId="8" borderId="11" xfId="0" applyFont="1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13" fillId="0" borderId="8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0" fillId="0" borderId="11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center"/>
    </xf>
    <xf numFmtId="0" fontId="7" fillId="0" borderId="8" xfId="0" applyFont="1" applyBorder="1" applyAlignment="1">
      <alignment horizontal="left" vertical="center"/>
    </xf>
    <xf numFmtId="0" fontId="0" fillId="0" borderId="8" xfId="0" applyBorder="1" applyAlignment="1">
      <alignment horizontal="left"/>
    </xf>
    <xf numFmtId="0" fontId="1" fillId="8" borderId="11" xfId="0" applyFont="1" applyFill="1" applyBorder="1" applyAlignment="1">
      <alignment horizont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7" fillId="9" borderId="8" xfId="0" applyFont="1" applyFill="1" applyBorder="1" applyAlignment="1">
      <alignment horizontal="center"/>
    </xf>
    <xf numFmtId="0" fontId="7" fillId="11" borderId="30" xfId="0" applyFont="1" applyFill="1" applyBorder="1" applyAlignment="1">
      <alignment horizontal="center" vertical="center"/>
    </xf>
    <xf numFmtId="0" fontId="7" fillId="11" borderId="31" xfId="0" applyFont="1" applyFill="1" applyBorder="1" applyAlignment="1">
      <alignment horizontal="center" vertical="center"/>
    </xf>
    <xf numFmtId="0" fontId="7" fillId="11" borderId="33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10" borderId="25" xfId="0" applyFont="1" applyFill="1" applyBorder="1" applyAlignment="1">
      <alignment horizontal="center" vertical="center"/>
    </xf>
    <xf numFmtId="0" fontId="7" fillId="10" borderId="26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7" borderId="2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/>
    </xf>
    <xf numFmtId="0" fontId="7" fillId="0" borderId="20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12" borderId="35" xfId="0" applyFont="1" applyFill="1" applyBorder="1" applyAlignment="1">
      <alignment horizontal="center" vertical="center"/>
    </xf>
    <xf numFmtId="0" fontId="7" fillId="12" borderId="36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8" borderId="32" xfId="0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606608</xdr:colOff>
      <xdr:row>6</xdr:row>
      <xdr:rowOff>163318</xdr:rowOff>
    </xdr:from>
    <xdr:to>
      <xdr:col>15</xdr:col>
      <xdr:colOff>16851</xdr:colOff>
      <xdr:row>30</xdr:row>
      <xdr:rowOff>168339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4CA5EB-392F-81EB-FC51-E3A70E967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71543" y="1256622"/>
          <a:ext cx="4317357" cy="4374429"/>
        </a:xfrm>
        <a:prstGeom prst="rect">
          <a:avLst/>
        </a:prstGeom>
      </xdr:spPr>
    </xdr:pic>
    <xdr:clientData/>
  </xdr:twoCellAnchor>
  <xdr:twoCellAnchor editAs="oneCell">
    <xdr:from>
      <xdr:col>0</xdr:col>
      <xdr:colOff>608441</xdr:colOff>
      <xdr:row>7</xdr:row>
      <xdr:rowOff>16565</xdr:rowOff>
    </xdr:from>
    <xdr:to>
      <xdr:col>6</xdr:col>
      <xdr:colOff>606535</xdr:colOff>
      <xdr:row>24</xdr:row>
      <xdr:rowOff>22984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F1C151E-453A-BB82-9148-DE1AB0697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8441" y="1292087"/>
          <a:ext cx="3750116" cy="31041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20"/>
  <sheetViews>
    <sheetView workbookViewId="0">
      <selection activeCell="D12" sqref="D12"/>
    </sheetView>
  </sheetViews>
  <sheetFormatPr defaultColWidth="8.88671875" defaultRowHeight="14.4" x14ac:dyDescent="0.3"/>
  <cols>
    <col min="15" max="15" width="19.5546875" customWidth="1"/>
  </cols>
  <sheetData>
    <row r="1" spans="2:16" x14ac:dyDescent="0.3">
      <c r="B1" s="12"/>
      <c r="D1" s="54" t="s">
        <v>0</v>
      </c>
      <c r="E1" s="55"/>
      <c r="F1" s="55"/>
      <c r="G1" s="56"/>
    </row>
    <row r="2" spans="2:16" x14ac:dyDescent="0.3">
      <c r="B2" s="37" t="s">
        <v>1</v>
      </c>
    </row>
    <row r="4" spans="2:16" x14ac:dyDescent="0.3">
      <c r="B4" s="1" t="s">
        <v>2</v>
      </c>
      <c r="N4" s="5" t="s">
        <v>3</v>
      </c>
      <c r="O4" s="5"/>
      <c r="P4" s="5"/>
    </row>
    <row r="5" spans="2:16" x14ac:dyDescent="0.3">
      <c r="B5" s="1" t="s">
        <v>4</v>
      </c>
      <c r="N5" s="33" t="s">
        <v>5</v>
      </c>
      <c r="O5" s="33"/>
      <c r="P5" s="33"/>
    </row>
    <row r="6" spans="2:16" x14ac:dyDescent="0.3">
      <c r="B6" s="1" t="s">
        <v>6</v>
      </c>
      <c r="N6" s="25"/>
      <c r="O6" s="25" t="s">
        <v>7</v>
      </c>
      <c r="P6" s="25" t="s">
        <v>8</v>
      </c>
    </row>
    <row r="7" spans="2:16" x14ac:dyDescent="0.3">
      <c r="B7" s="1"/>
      <c r="C7" s="1"/>
      <c r="D7" s="1"/>
      <c r="E7" s="1"/>
      <c r="N7" s="25" t="s">
        <v>9</v>
      </c>
      <c r="O7" s="25" t="s">
        <v>75</v>
      </c>
      <c r="P7" s="25">
        <v>235</v>
      </c>
    </row>
    <row r="8" spans="2:16" x14ac:dyDescent="0.3">
      <c r="B8" s="1"/>
      <c r="C8" s="1"/>
      <c r="D8" s="1"/>
      <c r="E8" s="1"/>
      <c r="N8" s="25" t="s">
        <v>10</v>
      </c>
      <c r="O8" s="25" t="s">
        <v>76</v>
      </c>
      <c r="P8" s="25">
        <v>235</v>
      </c>
    </row>
    <row r="9" spans="2:16" x14ac:dyDescent="0.3">
      <c r="B9" t="s">
        <v>78</v>
      </c>
      <c r="C9" s="1"/>
      <c r="D9" s="1"/>
      <c r="E9" s="1"/>
      <c r="N9" s="25" t="s">
        <v>11</v>
      </c>
      <c r="O9" s="25" t="s">
        <v>77</v>
      </c>
      <c r="P9" s="25">
        <v>235</v>
      </c>
    </row>
    <row r="10" spans="2:16" x14ac:dyDescent="0.3">
      <c r="B10" t="s">
        <v>79</v>
      </c>
      <c r="C10" s="1"/>
      <c r="D10" s="1"/>
      <c r="E10" s="1"/>
    </row>
    <row r="11" spans="2:16" x14ac:dyDescent="0.3">
      <c r="B11" s="35" t="s">
        <v>80</v>
      </c>
      <c r="C11" s="1"/>
      <c r="D11" s="1"/>
      <c r="E11" s="1"/>
    </row>
    <row r="12" spans="2:16" x14ac:dyDescent="0.3">
      <c r="C12" s="1"/>
      <c r="D12" s="1"/>
      <c r="E12" s="1"/>
    </row>
    <row r="19" spans="2:2" x14ac:dyDescent="0.3">
      <c r="B19" s="1"/>
    </row>
    <row r="20" spans="2:2" x14ac:dyDescent="0.3">
      <c r="B20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1:T24"/>
  <sheetViews>
    <sheetView zoomScale="115" zoomScaleNormal="115" workbookViewId="0">
      <selection activeCell="T3" sqref="T3"/>
    </sheetView>
  </sheetViews>
  <sheetFormatPr defaultColWidth="8.88671875" defaultRowHeight="14.4" x14ac:dyDescent="0.3"/>
  <cols>
    <col min="2" max="2" width="10" customWidth="1"/>
    <col min="17" max="17" width="10.5546875" customWidth="1"/>
    <col min="19" max="19" width="10.88671875" customWidth="1"/>
    <col min="20" max="20" width="49.77734375" customWidth="1"/>
  </cols>
  <sheetData>
    <row r="1" spans="2:20" x14ac:dyDescent="0.3">
      <c r="B1" s="12"/>
      <c r="D1" s="54" t="s">
        <v>0</v>
      </c>
      <c r="E1" s="55"/>
      <c r="F1" s="55"/>
      <c r="G1" s="55"/>
      <c r="H1" s="55"/>
      <c r="I1" s="56"/>
    </row>
    <row r="3" spans="2:20" x14ac:dyDescent="0.3">
      <c r="B3" s="69" t="s">
        <v>81</v>
      </c>
      <c r="C3" s="58"/>
      <c r="D3" s="58"/>
      <c r="E3" s="58"/>
      <c r="F3" s="58"/>
      <c r="G3" s="58"/>
      <c r="H3" s="58"/>
      <c r="I3" s="58"/>
      <c r="J3" s="58"/>
      <c r="K3" s="59"/>
    </row>
    <row r="6" spans="2:20" x14ac:dyDescent="0.3">
      <c r="B6" s="54" t="s">
        <v>12</v>
      </c>
      <c r="C6" s="55"/>
      <c r="D6" s="55"/>
      <c r="E6" s="56"/>
      <c r="F6" s="29"/>
      <c r="G6" s="29"/>
      <c r="I6" s="54" t="s">
        <v>13</v>
      </c>
      <c r="J6" s="55"/>
      <c r="K6" s="55"/>
      <c r="L6" s="55"/>
      <c r="M6" s="55"/>
      <c r="N6" s="55"/>
      <c r="O6" s="55"/>
      <c r="Q6" s="54" t="s">
        <v>14</v>
      </c>
      <c r="R6" s="55"/>
      <c r="S6" s="55"/>
      <c r="T6" s="55"/>
    </row>
    <row r="8" spans="2:20" x14ac:dyDescent="0.3">
      <c r="B8" s="30" t="s">
        <v>15</v>
      </c>
      <c r="C8" s="79" t="s">
        <v>16</v>
      </c>
      <c r="D8" s="79"/>
      <c r="E8" s="79"/>
      <c r="F8" s="31"/>
      <c r="G8" s="31"/>
      <c r="I8" s="12" t="s">
        <v>17</v>
      </c>
      <c r="Q8" s="67" t="s">
        <v>18</v>
      </c>
      <c r="R8" s="67"/>
      <c r="S8" s="67"/>
      <c r="T8" s="32">
        <v>7</v>
      </c>
    </row>
    <row r="9" spans="2:20" x14ac:dyDescent="0.3">
      <c r="B9" s="33" t="s">
        <v>20</v>
      </c>
      <c r="C9" s="66" t="s">
        <v>19</v>
      </c>
      <c r="D9" s="66"/>
      <c r="E9" s="66"/>
      <c r="F9" s="34"/>
      <c r="G9" s="34"/>
      <c r="I9" s="36"/>
      <c r="Q9" s="67" t="s">
        <v>82</v>
      </c>
      <c r="R9" s="67"/>
      <c r="S9" s="67"/>
      <c r="T9" s="32">
        <v>7</v>
      </c>
    </row>
    <row r="10" spans="2:20" x14ac:dyDescent="0.3">
      <c r="B10" s="33" t="s">
        <v>21</v>
      </c>
      <c r="C10" s="66" t="s">
        <v>19</v>
      </c>
      <c r="D10" s="66"/>
      <c r="E10" s="66"/>
      <c r="F10" s="34"/>
      <c r="G10" s="34"/>
      <c r="I10" s="70" t="s">
        <v>22</v>
      </c>
      <c r="J10" s="71"/>
      <c r="K10" s="71"/>
      <c r="L10" s="71"/>
      <c r="M10" s="71"/>
      <c r="N10" s="71"/>
      <c r="O10" s="72"/>
      <c r="Q10" s="67" t="s">
        <v>83</v>
      </c>
      <c r="R10" s="67" t="s">
        <v>23</v>
      </c>
      <c r="S10" s="67"/>
      <c r="T10" s="32">
        <v>7</v>
      </c>
    </row>
    <row r="11" spans="2:20" x14ac:dyDescent="0.3">
      <c r="B11" s="33" t="s">
        <v>24</v>
      </c>
      <c r="C11" s="66" t="s">
        <v>19</v>
      </c>
      <c r="D11" s="66"/>
      <c r="E11" s="66"/>
      <c r="F11" s="34"/>
      <c r="G11" s="34"/>
      <c r="I11" s="73"/>
      <c r="J11" s="74"/>
      <c r="K11" s="74"/>
      <c r="L11" s="74"/>
      <c r="M11" s="74"/>
      <c r="N11" s="74"/>
      <c r="O11" s="75"/>
    </row>
    <row r="12" spans="2:20" x14ac:dyDescent="0.3">
      <c r="B12" s="33" t="s">
        <v>25</v>
      </c>
      <c r="C12" s="66" t="s">
        <v>19</v>
      </c>
      <c r="D12" s="66"/>
      <c r="E12" s="66"/>
      <c r="F12" s="34"/>
      <c r="G12" s="34"/>
      <c r="I12" s="73"/>
      <c r="J12" s="74"/>
      <c r="K12" s="74"/>
      <c r="L12" s="74"/>
      <c r="M12" s="74"/>
      <c r="N12" s="74"/>
      <c r="O12" s="75"/>
    </row>
    <row r="13" spans="2:20" x14ac:dyDescent="0.3">
      <c r="B13" s="33" t="s">
        <v>26</v>
      </c>
      <c r="C13" s="66" t="s">
        <v>19</v>
      </c>
      <c r="D13" s="66"/>
      <c r="E13" s="66"/>
      <c r="F13" s="34"/>
      <c r="G13" s="34"/>
      <c r="I13" s="73"/>
      <c r="J13" s="74"/>
      <c r="K13" s="74"/>
      <c r="L13" s="74"/>
      <c r="M13" s="74"/>
      <c r="N13" s="74"/>
      <c r="O13" s="75"/>
      <c r="Q13" s="54" t="s">
        <v>27</v>
      </c>
      <c r="R13" s="55"/>
      <c r="S13" s="55"/>
      <c r="T13" s="55"/>
    </row>
    <row r="14" spans="2:20" x14ac:dyDescent="0.3">
      <c r="B14" s="33" t="s">
        <v>25</v>
      </c>
      <c r="C14" s="66" t="s">
        <v>19</v>
      </c>
      <c r="D14" s="66"/>
      <c r="E14" s="66"/>
      <c r="F14" s="34"/>
      <c r="G14" s="34"/>
      <c r="I14" s="73"/>
      <c r="J14" s="74"/>
      <c r="K14" s="74"/>
      <c r="L14" s="74"/>
      <c r="M14" s="74"/>
      <c r="N14" s="74"/>
      <c r="O14" s="75"/>
    </row>
    <row r="15" spans="2:20" x14ac:dyDescent="0.3">
      <c r="I15" s="73"/>
      <c r="J15" s="74"/>
      <c r="K15" s="74"/>
      <c r="L15" s="74"/>
      <c r="M15" s="74"/>
      <c r="N15" s="74"/>
      <c r="O15" s="75"/>
      <c r="Q15" s="30" t="s">
        <v>28</v>
      </c>
      <c r="R15" s="79" t="s">
        <v>29</v>
      </c>
      <c r="S15" s="79"/>
      <c r="T15" s="79"/>
    </row>
    <row r="16" spans="2:20" x14ac:dyDescent="0.3">
      <c r="I16" s="73"/>
      <c r="J16" s="74"/>
      <c r="K16" s="74"/>
      <c r="L16" s="74"/>
      <c r="M16" s="74"/>
      <c r="N16" s="74"/>
      <c r="O16" s="75"/>
      <c r="Q16" s="33" t="s">
        <v>30</v>
      </c>
      <c r="R16" s="68" t="s">
        <v>84</v>
      </c>
      <c r="S16" s="68"/>
      <c r="T16" s="68"/>
    </row>
    <row r="17" spans="9:20" x14ac:dyDescent="0.3">
      <c r="I17" s="73"/>
      <c r="J17" s="74"/>
      <c r="K17" s="74"/>
      <c r="L17" s="74"/>
      <c r="M17" s="74"/>
      <c r="N17" s="74"/>
      <c r="O17" s="75"/>
      <c r="Q17" s="33" t="s">
        <v>31</v>
      </c>
      <c r="R17" s="68" t="s">
        <v>86</v>
      </c>
      <c r="S17" s="68"/>
      <c r="T17" s="68"/>
    </row>
    <row r="18" spans="9:20" x14ac:dyDescent="0.3">
      <c r="I18" s="73"/>
      <c r="J18" s="74"/>
      <c r="K18" s="74"/>
      <c r="L18" s="74"/>
      <c r="M18" s="74"/>
      <c r="N18" s="74"/>
      <c r="O18" s="75"/>
      <c r="Q18" s="33" t="s">
        <v>32</v>
      </c>
      <c r="R18" s="68" t="s">
        <v>91</v>
      </c>
      <c r="S18" s="68"/>
      <c r="T18" s="68"/>
    </row>
    <row r="19" spans="9:20" x14ac:dyDescent="0.3">
      <c r="I19" s="73"/>
      <c r="J19" s="74"/>
      <c r="K19" s="74"/>
      <c r="L19" s="74"/>
      <c r="M19" s="74"/>
      <c r="N19" s="74"/>
      <c r="O19" s="75"/>
      <c r="Q19" s="33" t="s">
        <v>87</v>
      </c>
      <c r="R19" s="63" t="s">
        <v>92</v>
      </c>
      <c r="S19" s="64"/>
      <c r="T19" s="65"/>
    </row>
    <row r="20" spans="9:20" x14ac:dyDescent="0.3">
      <c r="I20" s="73"/>
      <c r="J20" s="74"/>
      <c r="K20" s="74"/>
      <c r="L20" s="74"/>
      <c r="M20" s="74"/>
      <c r="N20" s="74"/>
      <c r="O20" s="75"/>
      <c r="Q20" s="33" t="s">
        <v>88</v>
      </c>
      <c r="R20" t="s">
        <v>94</v>
      </c>
      <c r="T20" s="39"/>
    </row>
    <row r="21" spans="9:20" x14ac:dyDescent="0.3">
      <c r="I21" s="73"/>
      <c r="J21" s="74"/>
      <c r="K21" s="74"/>
      <c r="L21" s="74"/>
      <c r="M21" s="74"/>
      <c r="N21" s="74"/>
      <c r="O21" s="75"/>
      <c r="Q21" s="33" t="s">
        <v>89</v>
      </c>
      <c r="R21" s="68" t="s">
        <v>93</v>
      </c>
      <c r="S21" s="68"/>
      <c r="T21" s="68"/>
    </row>
    <row r="22" spans="9:20" x14ac:dyDescent="0.3">
      <c r="I22" s="73"/>
      <c r="J22" s="74"/>
      <c r="K22" s="74"/>
      <c r="L22" s="74"/>
      <c r="M22" s="74"/>
      <c r="N22" s="74"/>
      <c r="O22" s="75"/>
      <c r="Q22" s="33" t="s">
        <v>90</v>
      </c>
      <c r="R22" s="63" t="s">
        <v>85</v>
      </c>
      <c r="S22" s="64"/>
      <c r="T22" s="65"/>
    </row>
    <row r="23" spans="9:20" x14ac:dyDescent="0.3">
      <c r="I23" s="73"/>
      <c r="J23" s="74"/>
      <c r="K23" s="74"/>
      <c r="L23" s="74"/>
      <c r="M23" s="74"/>
      <c r="N23" s="74"/>
      <c r="O23" s="75"/>
    </row>
    <row r="24" spans="9:20" x14ac:dyDescent="0.3">
      <c r="I24" s="76"/>
      <c r="J24" s="77"/>
      <c r="K24" s="77"/>
      <c r="L24" s="77"/>
      <c r="M24" s="77"/>
      <c r="N24" s="77"/>
      <c r="O24" s="78"/>
    </row>
  </sheetData>
  <mergeCells count="24">
    <mergeCell ref="D1:I1"/>
    <mergeCell ref="R19:T19"/>
    <mergeCell ref="R21:T21"/>
    <mergeCell ref="B3:K3"/>
    <mergeCell ref="C10:E10"/>
    <mergeCell ref="I10:O24"/>
    <mergeCell ref="Q10:S10"/>
    <mergeCell ref="C11:E11"/>
    <mergeCell ref="R15:T15"/>
    <mergeCell ref="C8:E8"/>
    <mergeCell ref="Q8:S8"/>
    <mergeCell ref="B6:E6"/>
    <mergeCell ref="I6:O6"/>
    <mergeCell ref="Q6:T6"/>
    <mergeCell ref="R17:T17"/>
    <mergeCell ref="R18:T18"/>
    <mergeCell ref="R22:T22"/>
    <mergeCell ref="C9:E9"/>
    <mergeCell ref="Q9:S9"/>
    <mergeCell ref="R16:T16"/>
    <mergeCell ref="C12:E12"/>
    <mergeCell ref="C13:E13"/>
    <mergeCell ref="Q13:T13"/>
    <mergeCell ref="C14:E1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AA16"/>
  <sheetViews>
    <sheetView zoomScale="85" zoomScaleNormal="85" workbookViewId="0">
      <selection activeCell="X17" sqref="X17"/>
    </sheetView>
  </sheetViews>
  <sheetFormatPr defaultColWidth="8.88671875" defaultRowHeight="14.4" x14ac:dyDescent="0.3"/>
  <cols>
    <col min="2" max="2" width="12.33203125" customWidth="1"/>
    <col min="3" max="3" width="18.109375" bestFit="1" customWidth="1"/>
    <col min="4" max="4" width="21.88671875" customWidth="1"/>
    <col min="5" max="5" width="31" customWidth="1"/>
    <col min="6" max="6" width="8.109375" customWidth="1"/>
    <col min="7" max="7" width="11.44140625" bestFit="1" customWidth="1"/>
    <col min="8" max="8" width="11.109375" customWidth="1"/>
    <col min="9" max="9" width="14.21875" customWidth="1"/>
    <col min="10" max="10" width="14.5546875" customWidth="1"/>
    <col min="11" max="11" width="10.5546875" customWidth="1"/>
    <col min="12" max="12" width="6.44140625" customWidth="1"/>
    <col min="13" max="13" width="19.6640625" customWidth="1"/>
    <col min="14" max="15" width="8.88671875" customWidth="1"/>
    <col min="20" max="20" width="9.109375" customWidth="1"/>
    <col min="21" max="23" width="2.109375" bestFit="1" customWidth="1"/>
    <col min="24" max="24" width="3.5546875" bestFit="1" customWidth="1"/>
    <col min="25" max="25" width="2.109375" bestFit="1" customWidth="1"/>
    <col min="26" max="26" width="4.109375" bestFit="1" customWidth="1"/>
    <col min="27" max="27" width="5.109375" bestFit="1" customWidth="1"/>
  </cols>
  <sheetData>
    <row r="1" spans="2:27" x14ac:dyDescent="0.3">
      <c r="B1" s="12"/>
      <c r="D1" s="54" t="s">
        <v>0</v>
      </c>
      <c r="E1" s="55"/>
      <c r="F1" s="55"/>
      <c r="G1" s="56"/>
    </row>
    <row r="3" spans="2:27" x14ac:dyDescent="0.3">
      <c r="B3" s="57" t="s">
        <v>95</v>
      </c>
      <c r="C3" s="58"/>
      <c r="D3" s="58"/>
      <c r="E3" s="58"/>
      <c r="F3" s="59"/>
    </row>
    <row r="5" spans="2:27" x14ac:dyDescent="0.3">
      <c r="B5" s="11"/>
    </row>
    <row r="6" spans="2:27" ht="15.6" x14ac:dyDescent="0.3">
      <c r="B6" s="60" t="s">
        <v>33</v>
      </c>
      <c r="C6" s="60" t="s">
        <v>34</v>
      </c>
      <c r="D6" s="61" t="s">
        <v>35</v>
      </c>
      <c r="E6" s="60" t="s">
        <v>36</v>
      </c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</row>
    <row r="7" spans="2:27" ht="15.6" x14ac:dyDescent="0.3">
      <c r="B7" s="60"/>
      <c r="C7" s="60"/>
      <c r="D7" s="62"/>
      <c r="E7" s="50" t="s">
        <v>37</v>
      </c>
      <c r="F7" s="51" t="s">
        <v>38</v>
      </c>
      <c r="G7" s="51"/>
      <c r="H7" s="51"/>
      <c r="I7" s="51"/>
      <c r="J7" s="51"/>
      <c r="K7" s="51"/>
      <c r="L7" s="51"/>
      <c r="M7" s="51"/>
      <c r="N7" s="52" t="s">
        <v>39</v>
      </c>
      <c r="O7" s="52"/>
      <c r="P7" s="52"/>
      <c r="Q7" s="52"/>
      <c r="R7" s="52"/>
      <c r="S7" s="52"/>
      <c r="T7" s="52"/>
      <c r="U7" s="53" t="s">
        <v>40</v>
      </c>
      <c r="V7" s="53"/>
      <c r="W7" s="53"/>
      <c r="X7" s="53"/>
      <c r="Y7" s="53"/>
      <c r="Z7" s="53"/>
      <c r="AA7" s="53"/>
    </row>
    <row r="8" spans="2:27" ht="15.6" customHeight="1" x14ac:dyDescent="0.3">
      <c r="B8" s="60"/>
      <c r="C8" s="48" t="s">
        <v>19</v>
      </c>
      <c r="D8" s="48" t="s">
        <v>19</v>
      </c>
      <c r="E8" s="50"/>
      <c r="F8" s="51" t="s">
        <v>106</v>
      </c>
      <c r="G8" s="51"/>
      <c r="H8" s="51" t="s">
        <v>107</v>
      </c>
      <c r="I8" s="51"/>
      <c r="J8" s="51" t="s">
        <v>108</v>
      </c>
      <c r="K8" s="51"/>
      <c r="L8" s="51" t="s">
        <v>126</v>
      </c>
      <c r="M8" s="51"/>
      <c r="N8" s="52" t="s">
        <v>30</v>
      </c>
      <c r="O8" s="52" t="s">
        <v>31</v>
      </c>
      <c r="P8" s="52" t="s">
        <v>32</v>
      </c>
      <c r="Q8" s="52" t="s">
        <v>87</v>
      </c>
      <c r="R8" s="52" t="s">
        <v>88</v>
      </c>
      <c r="S8" s="52" t="s">
        <v>89</v>
      </c>
      <c r="T8" s="52" t="s">
        <v>90</v>
      </c>
      <c r="U8" s="53">
        <v>0</v>
      </c>
      <c r="V8" s="53">
        <v>1</v>
      </c>
      <c r="W8" s="53">
        <v>2</v>
      </c>
      <c r="X8" s="53" t="s">
        <v>41</v>
      </c>
      <c r="Y8" s="53" t="s">
        <v>42</v>
      </c>
      <c r="Z8" s="53" t="s">
        <v>43</v>
      </c>
      <c r="AA8" s="53" t="s">
        <v>44</v>
      </c>
    </row>
    <row r="9" spans="2:27" ht="15.6" x14ac:dyDescent="0.3">
      <c r="B9" s="60"/>
      <c r="C9" s="49"/>
      <c r="D9" s="49"/>
      <c r="E9" s="50"/>
      <c r="F9" s="13" t="s">
        <v>45</v>
      </c>
      <c r="G9" s="13" t="s">
        <v>46</v>
      </c>
      <c r="H9" s="13" t="s">
        <v>45</v>
      </c>
      <c r="I9" s="13" t="s">
        <v>46</v>
      </c>
      <c r="J9" s="13" t="s">
        <v>45</v>
      </c>
      <c r="K9" s="13" t="s">
        <v>46</v>
      </c>
      <c r="L9" s="13" t="s">
        <v>45</v>
      </c>
      <c r="M9" s="13" t="s">
        <v>46</v>
      </c>
      <c r="N9" s="52"/>
      <c r="O9" s="52"/>
      <c r="P9" s="52"/>
      <c r="Q9" s="52"/>
      <c r="R9" s="52"/>
      <c r="S9" s="52"/>
      <c r="T9" s="52"/>
      <c r="U9" s="53"/>
      <c r="V9" s="53"/>
      <c r="W9" s="53"/>
      <c r="X9" s="53"/>
      <c r="Y9" s="53"/>
      <c r="Z9" s="53"/>
      <c r="AA9" s="53"/>
    </row>
    <row r="10" spans="2:27" ht="31.2" x14ac:dyDescent="0.3">
      <c r="B10" s="14" t="s">
        <v>47</v>
      </c>
      <c r="C10" s="14" t="s">
        <v>102</v>
      </c>
      <c r="D10" s="15" t="s">
        <v>101</v>
      </c>
      <c r="E10" s="16" t="s">
        <v>104</v>
      </c>
      <c r="F10" s="17" t="s">
        <v>112</v>
      </c>
      <c r="G10" s="17"/>
      <c r="H10" s="17"/>
      <c r="I10" s="17"/>
      <c r="J10" s="17"/>
      <c r="K10" s="17"/>
      <c r="L10" s="17"/>
      <c r="M10" s="17"/>
      <c r="N10" s="18" t="s">
        <v>105</v>
      </c>
      <c r="O10" s="18"/>
      <c r="P10" s="18"/>
      <c r="Q10" s="18"/>
      <c r="R10" s="18"/>
      <c r="S10" s="18"/>
      <c r="T10" s="18"/>
      <c r="U10" s="19" t="s">
        <v>105</v>
      </c>
      <c r="V10" s="19"/>
      <c r="W10" s="19"/>
      <c r="X10" s="19"/>
      <c r="Y10" s="19"/>
      <c r="Z10" s="19"/>
      <c r="AA10" s="19"/>
    </row>
    <row r="11" spans="2:27" ht="31.2" x14ac:dyDescent="0.3">
      <c r="B11" s="14" t="s">
        <v>57</v>
      </c>
      <c r="C11" s="14" t="s">
        <v>109</v>
      </c>
      <c r="D11" s="15" t="s">
        <v>110</v>
      </c>
      <c r="E11" s="16" t="s">
        <v>111</v>
      </c>
      <c r="F11" s="17"/>
      <c r="G11" s="17" t="s">
        <v>112</v>
      </c>
      <c r="H11" s="17"/>
      <c r="I11" s="17" t="s">
        <v>112</v>
      </c>
      <c r="J11" s="17"/>
      <c r="K11" s="17"/>
      <c r="L11" s="17"/>
      <c r="M11" s="17"/>
      <c r="N11" s="18"/>
      <c r="O11" s="18" t="s">
        <v>112</v>
      </c>
      <c r="P11" s="18"/>
      <c r="Q11" s="18"/>
      <c r="R11" s="18"/>
      <c r="S11" s="18"/>
      <c r="T11" s="18"/>
      <c r="U11" s="19" t="s">
        <v>112</v>
      </c>
      <c r="V11" s="19"/>
      <c r="W11" s="19"/>
      <c r="X11" s="19"/>
      <c r="Y11" s="19"/>
      <c r="Z11" s="19"/>
      <c r="AA11" s="19"/>
    </row>
    <row r="12" spans="2:27" ht="31.2" x14ac:dyDescent="0.3">
      <c r="B12" s="14" t="s">
        <v>96</v>
      </c>
      <c r="C12" s="41" t="s">
        <v>115</v>
      </c>
      <c r="D12" s="40" t="s">
        <v>113</v>
      </c>
      <c r="E12" s="16" t="s">
        <v>121</v>
      </c>
      <c r="F12" s="17"/>
      <c r="G12" s="17" t="s">
        <v>112</v>
      </c>
      <c r="H12" s="17" t="s">
        <v>112</v>
      </c>
      <c r="I12" s="17"/>
      <c r="J12" s="17" t="s">
        <v>112</v>
      </c>
      <c r="K12" s="17"/>
      <c r="L12" s="17" t="s">
        <v>112</v>
      </c>
      <c r="M12" s="17" t="s">
        <v>112</v>
      </c>
      <c r="N12" s="18"/>
      <c r="O12" s="18"/>
      <c r="P12" s="18" t="s">
        <v>112</v>
      </c>
      <c r="Q12" s="18"/>
      <c r="R12" s="18"/>
      <c r="S12" s="18"/>
      <c r="T12" s="18"/>
      <c r="U12" s="19"/>
      <c r="V12" s="19" t="s">
        <v>112</v>
      </c>
      <c r="W12" s="19"/>
      <c r="X12" s="19"/>
      <c r="Y12" s="19"/>
      <c r="Z12" s="19"/>
      <c r="AA12" s="19"/>
    </row>
    <row r="13" spans="2:27" ht="15.6" x14ac:dyDescent="0.3">
      <c r="B13" s="14" t="s">
        <v>97</v>
      </c>
      <c r="C13" s="14" t="s">
        <v>116</v>
      </c>
      <c r="D13" s="15" t="s">
        <v>113</v>
      </c>
      <c r="E13" s="16" t="s">
        <v>122</v>
      </c>
      <c r="F13" s="17"/>
      <c r="G13" s="17" t="s">
        <v>112</v>
      </c>
      <c r="H13" s="17" t="s">
        <v>112</v>
      </c>
      <c r="I13" s="17"/>
      <c r="J13" s="17" t="s">
        <v>112</v>
      </c>
      <c r="K13" s="17"/>
      <c r="L13" s="17" t="s">
        <v>112</v>
      </c>
      <c r="M13" s="17" t="s">
        <v>112</v>
      </c>
      <c r="N13" s="18"/>
      <c r="O13" s="18"/>
      <c r="P13" s="18"/>
      <c r="Q13" s="18" t="s">
        <v>112</v>
      </c>
      <c r="R13" s="18"/>
      <c r="S13" s="18"/>
      <c r="T13" s="18"/>
      <c r="U13" s="19"/>
      <c r="V13" s="19"/>
      <c r="W13" s="19"/>
      <c r="X13" s="19" t="s">
        <v>112</v>
      </c>
      <c r="Y13" s="19"/>
      <c r="Z13" s="19"/>
      <c r="AA13" s="19"/>
    </row>
    <row r="14" spans="2:27" ht="15.6" customHeight="1" x14ac:dyDescent="0.3">
      <c r="B14" s="14" t="s">
        <v>98</v>
      </c>
      <c r="C14" s="14" t="s">
        <v>117</v>
      </c>
      <c r="D14" s="15" t="s">
        <v>114</v>
      </c>
      <c r="E14" s="16" t="s">
        <v>125</v>
      </c>
      <c r="F14" s="17"/>
      <c r="G14" s="17" t="s">
        <v>112</v>
      </c>
      <c r="H14" s="17" t="s">
        <v>112</v>
      </c>
      <c r="I14" s="17"/>
      <c r="J14" s="17"/>
      <c r="K14" s="17" t="s">
        <v>112</v>
      </c>
      <c r="L14" s="17"/>
      <c r="M14" s="17" t="s">
        <v>112</v>
      </c>
      <c r="N14" s="18"/>
      <c r="O14" s="18"/>
      <c r="P14" s="18"/>
      <c r="Q14" s="18"/>
      <c r="R14" s="18" t="s">
        <v>112</v>
      </c>
      <c r="S14" s="18"/>
      <c r="T14" s="18"/>
      <c r="U14" s="19"/>
      <c r="V14" s="19" t="s">
        <v>112</v>
      </c>
      <c r="W14" s="19"/>
      <c r="X14" s="19"/>
      <c r="Y14" s="19"/>
      <c r="Z14" s="19"/>
      <c r="AA14" s="19"/>
    </row>
    <row r="15" spans="2:27" ht="31.2" x14ac:dyDescent="0.3">
      <c r="B15" s="14" t="s">
        <v>99</v>
      </c>
      <c r="C15" s="14" t="s">
        <v>118</v>
      </c>
      <c r="D15" s="15" t="s">
        <v>103</v>
      </c>
      <c r="E15" s="16" t="s">
        <v>123</v>
      </c>
      <c r="F15" s="17"/>
      <c r="G15" s="17" t="s">
        <v>112</v>
      </c>
      <c r="H15" s="17" t="s">
        <v>112</v>
      </c>
      <c r="I15" s="17"/>
      <c r="J15" s="17" t="s">
        <v>112</v>
      </c>
      <c r="K15" s="17"/>
      <c r="L15" s="17" t="s">
        <v>112</v>
      </c>
      <c r="M15" s="17" t="s">
        <v>112</v>
      </c>
      <c r="N15" s="18"/>
      <c r="O15" s="18"/>
      <c r="P15" s="18"/>
      <c r="Q15" s="18"/>
      <c r="R15" s="18"/>
      <c r="S15" s="18" t="s">
        <v>112</v>
      </c>
      <c r="T15" s="18"/>
      <c r="U15" s="19"/>
      <c r="V15" s="19"/>
      <c r="W15" s="19"/>
      <c r="X15" s="19"/>
      <c r="Y15" s="19" t="s">
        <v>112</v>
      </c>
      <c r="Z15" s="19"/>
      <c r="AA15" s="19"/>
    </row>
    <row r="16" spans="2:27" ht="31.2" x14ac:dyDescent="0.3">
      <c r="B16" s="14" t="s">
        <v>100</v>
      </c>
      <c r="C16" s="14" t="s">
        <v>119</v>
      </c>
      <c r="D16" s="15" t="s">
        <v>120</v>
      </c>
      <c r="E16" s="16" t="s">
        <v>124</v>
      </c>
      <c r="F16" s="17"/>
      <c r="G16" s="17" t="s">
        <v>112</v>
      </c>
      <c r="H16" s="17" t="s">
        <v>112</v>
      </c>
      <c r="I16" s="17"/>
      <c r="J16" s="17" t="s">
        <v>112</v>
      </c>
      <c r="K16" s="17"/>
      <c r="L16" s="17" t="s">
        <v>112</v>
      </c>
      <c r="M16" s="17" t="s">
        <v>112</v>
      </c>
      <c r="N16" s="18"/>
      <c r="O16" s="18"/>
      <c r="P16" s="18"/>
      <c r="Q16" s="18"/>
      <c r="R16" s="18"/>
      <c r="S16" s="18"/>
      <c r="T16" s="18" t="s">
        <v>112</v>
      </c>
      <c r="U16" s="19"/>
      <c r="V16" s="19" t="s">
        <v>112</v>
      </c>
      <c r="W16" s="19"/>
      <c r="X16" s="19"/>
      <c r="Y16" s="19"/>
      <c r="Z16" s="19"/>
      <c r="AA16" s="19"/>
    </row>
  </sheetData>
  <mergeCells count="30">
    <mergeCell ref="D1:G1"/>
    <mergeCell ref="B3:F3"/>
    <mergeCell ref="B6:B9"/>
    <mergeCell ref="C6:C7"/>
    <mergeCell ref="D6:D7"/>
    <mergeCell ref="E6:AA6"/>
    <mergeCell ref="Y8:Y9"/>
    <mergeCell ref="Z8:Z9"/>
    <mergeCell ref="T8:T9"/>
    <mergeCell ref="D8:D9"/>
    <mergeCell ref="F8:G8"/>
    <mergeCell ref="V8:V9"/>
    <mergeCell ref="W8:W9"/>
    <mergeCell ref="X8:X9"/>
    <mergeCell ref="R8:R9"/>
    <mergeCell ref="U7:AA7"/>
    <mergeCell ref="AA8:AA9"/>
    <mergeCell ref="H8:I8"/>
    <mergeCell ref="J8:K8"/>
    <mergeCell ref="L8:M8"/>
    <mergeCell ref="U8:U9"/>
    <mergeCell ref="N8:N9"/>
    <mergeCell ref="O8:O9"/>
    <mergeCell ref="P8:P9"/>
    <mergeCell ref="Q8:Q9"/>
    <mergeCell ref="C8:C9"/>
    <mergeCell ref="E7:E9"/>
    <mergeCell ref="F7:M7"/>
    <mergeCell ref="N7:T7"/>
    <mergeCell ref="S8:S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N18"/>
  <sheetViews>
    <sheetView tabSelected="1" zoomScale="115" zoomScaleNormal="115" workbookViewId="0">
      <selection activeCell="C19" sqref="C19"/>
    </sheetView>
  </sheetViews>
  <sheetFormatPr defaultColWidth="8.88671875" defaultRowHeight="14.4" x14ac:dyDescent="0.3"/>
  <cols>
    <col min="3" max="3" width="7.109375" bestFit="1" customWidth="1"/>
    <col min="4" max="4" width="11.33203125" bestFit="1" customWidth="1"/>
    <col min="5" max="5" width="31.77734375" customWidth="1"/>
    <col min="6" max="6" width="31.109375" customWidth="1"/>
    <col min="7" max="7" width="10.88671875" bestFit="1" customWidth="1"/>
    <col min="8" max="8" width="10" bestFit="1" customWidth="1"/>
    <col min="10" max="10" width="7.109375" bestFit="1" customWidth="1"/>
    <col min="11" max="11" width="17.33203125" customWidth="1"/>
    <col min="12" max="12" width="15.5546875" customWidth="1"/>
    <col min="13" max="13" width="16.109375" bestFit="1" customWidth="1"/>
    <col min="15" max="15" width="12.33203125" customWidth="1"/>
  </cols>
  <sheetData>
    <row r="1" spans="2:14" x14ac:dyDescent="0.3">
      <c r="B1" s="12"/>
      <c r="D1" s="54" t="s">
        <v>0</v>
      </c>
      <c r="E1" s="55"/>
      <c r="F1" s="55"/>
      <c r="G1" s="56"/>
    </row>
    <row r="3" spans="2:14" x14ac:dyDescent="0.3">
      <c r="B3" s="102" t="s">
        <v>48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</row>
    <row r="4" spans="2:14" x14ac:dyDescent="0.3">
      <c r="B4" s="103" t="s">
        <v>49</v>
      </c>
      <c r="C4" s="97" t="s">
        <v>50</v>
      </c>
      <c r="D4" s="113" t="s">
        <v>51</v>
      </c>
      <c r="E4" s="105" t="s">
        <v>52</v>
      </c>
      <c r="F4" s="111"/>
      <c r="G4" s="111"/>
      <c r="H4" s="111"/>
      <c r="I4" s="111"/>
      <c r="J4" s="106"/>
      <c r="K4" s="105" t="s">
        <v>53</v>
      </c>
      <c r="L4" s="106"/>
    </row>
    <row r="5" spans="2:14" ht="15" thickBot="1" x14ac:dyDescent="0.35">
      <c r="B5" s="104"/>
      <c r="C5" s="112"/>
      <c r="D5" s="114"/>
      <c r="E5" s="45" t="s">
        <v>19</v>
      </c>
      <c r="F5" s="45" t="s">
        <v>19</v>
      </c>
      <c r="G5" s="2" t="s">
        <v>19</v>
      </c>
      <c r="H5" s="2" t="s">
        <v>19</v>
      </c>
      <c r="I5" s="107" t="s">
        <v>19</v>
      </c>
      <c r="J5" s="108"/>
      <c r="K5" s="45" t="s">
        <v>54</v>
      </c>
      <c r="L5" s="45" t="s">
        <v>55</v>
      </c>
    </row>
    <row r="6" spans="2:14" ht="15" thickTop="1" x14ac:dyDescent="0.3">
      <c r="B6" s="20">
        <v>9</v>
      </c>
      <c r="C6" s="109" t="s">
        <v>56</v>
      </c>
      <c r="D6" s="4" t="s">
        <v>47</v>
      </c>
      <c r="E6" s="25" t="s">
        <v>127</v>
      </c>
      <c r="F6" s="25" t="s">
        <v>128</v>
      </c>
      <c r="G6" s="21" t="s">
        <v>26</v>
      </c>
      <c r="H6" s="21" t="s">
        <v>19</v>
      </c>
      <c r="I6" s="115" t="s">
        <v>19</v>
      </c>
      <c r="J6" s="116"/>
      <c r="K6" s="25" t="s">
        <v>101</v>
      </c>
      <c r="L6" s="25" t="s">
        <v>101</v>
      </c>
    </row>
    <row r="7" spans="2:14" ht="13.2" customHeight="1" x14ac:dyDescent="0.3">
      <c r="B7" s="20">
        <v>10</v>
      </c>
      <c r="C7" s="109"/>
      <c r="D7" s="4" t="s">
        <v>57</v>
      </c>
      <c r="E7" s="25" t="s">
        <v>147</v>
      </c>
      <c r="F7" s="25" t="s">
        <v>129</v>
      </c>
      <c r="G7" s="20" t="s">
        <v>26</v>
      </c>
      <c r="H7" s="20" t="s">
        <v>19</v>
      </c>
      <c r="I7" s="105" t="s">
        <v>19</v>
      </c>
      <c r="J7" s="106"/>
      <c r="K7" s="46" t="s">
        <v>145</v>
      </c>
      <c r="L7" s="25" t="s">
        <v>145</v>
      </c>
    </row>
    <row r="8" spans="2:14" x14ac:dyDescent="0.3">
      <c r="B8" s="20">
        <v>11</v>
      </c>
      <c r="C8" s="109"/>
      <c r="D8" s="10" t="s">
        <v>96</v>
      </c>
      <c r="E8" s="25" t="s">
        <v>136</v>
      </c>
      <c r="F8" s="25" t="s">
        <v>128</v>
      </c>
      <c r="G8" s="20" t="s">
        <v>26</v>
      </c>
      <c r="H8" s="20" t="s">
        <v>19</v>
      </c>
      <c r="I8" s="105" t="s">
        <v>19</v>
      </c>
      <c r="J8" s="106"/>
      <c r="K8" s="25" t="s">
        <v>130</v>
      </c>
      <c r="L8" s="25" t="s">
        <v>146</v>
      </c>
    </row>
    <row r="9" spans="2:14" x14ac:dyDescent="0.3">
      <c r="B9" s="20">
        <v>12</v>
      </c>
      <c r="C9" s="109"/>
      <c r="D9" s="10" t="s">
        <v>97</v>
      </c>
      <c r="E9" s="25" t="s">
        <v>137</v>
      </c>
      <c r="F9" s="25" t="s">
        <v>138</v>
      </c>
      <c r="G9" s="20" t="s">
        <v>26</v>
      </c>
      <c r="H9" s="20" t="s">
        <v>19</v>
      </c>
      <c r="I9" s="105" t="s">
        <v>19</v>
      </c>
      <c r="J9" s="106"/>
      <c r="K9" s="25" t="s">
        <v>131</v>
      </c>
      <c r="L9" s="25" t="s">
        <v>131</v>
      </c>
    </row>
    <row r="10" spans="2:14" ht="15" thickBot="1" x14ac:dyDescent="0.35">
      <c r="B10" s="2">
        <v>13</v>
      </c>
      <c r="C10" s="110"/>
      <c r="D10" s="10" t="s">
        <v>98</v>
      </c>
      <c r="E10" s="25" t="s">
        <v>139</v>
      </c>
      <c r="F10" s="25" t="s">
        <v>140</v>
      </c>
      <c r="G10" s="2" t="s">
        <v>26</v>
      </c>
      <c r="H10" s="2" t="s">
        <v>19</v>
      </c>
      <c r="I10" s="107" t="s">
        <v>19</v>
      </c>
      <c r="J10" s="108"/>
      <c r="K10" s="25" t="s">
        <v>132</v>
      </c>
      <c r="L10" s="25" t="s">
        <v>132</v>
      </c>
    </row>
    <row r="11" spans="2:14" ht="15.6" thickTop="1" thickBot="1" x14ac:dyDescent="0.35">
      <c r="B11" s="2">
        <v>14</v>
      </c>
      <c r="C11" s="42"/>
      <c r="D11" s="10" t="s">
        <v>99</v>
      </c>
      <c r="E11" s="25" t="s">
        <v>141</v>
      </c>
      <c r="F11" s="47" t="s">
        <v>142</v>
      </c>
      <c r="G11" s="2"/>
      <c r="H11" s="2"/>
      <c r="I11" s="38"/>
      <c r="J11" s="9"/>
      <c r="K11" s="25" t="s">
        <v>133</v>
      </c>
      <c r="L11" s="47" t="s">
        <v>134</v>
      </c>
    </row>
    <row r="12" spans="2:14" ht="15.6" thickTop="1" thickBot="1" x14ac:dyDescent="0.35">
      <c r="B12" s="2">
        <v>15</v>
      </c>
      <c r="C12" s="42"/>
      <c r="D12" s="10" t="s">
        <v>100</v>
      </c>
      <c r="E12" s="25" t="s">
        <v>143</v>
      </c>
      <c r="F12" s="25" t="s">
        <v>144</v>
      </c>
      <c r="G12" s="2"/>
      <c r="H12" s="2"/>
      <c r="I12" s="38"/>
      <c r="J12" s="9"/>
      <c r="K12" s="25" t="s">
        <v>135</v>
      </c>
      <c r="L12" s="47" t="s">
        <v>134</v>
      </c>
    </row>
    <row r="13" spans="2:14" ht="15" thickTop="1" x14ac:dyDescent="0.3">
      <c r="B13" s="3"/>
      <c r="C13" s="43"/>
      <c r="D13" s="3"/>
      <c r="E13" s="3"/>
      <c r="F13" s="3"/>
      <c r="G13" s="3"/>
      <c r="H13" s="3"/>
      <c r="I13" s="3"/>
      <c r="J13" s="3"/>
      <c r="K13" s="3"/>
      <c r="L13" s="3"/>
    </row>
    <row r="14" spans="2:14" ht="15" thickBot="1" x14ac:dyDescent="0.35">
      <c r="B14" s="3" t="s">
        <v>58</v>
      </c>
      <c r="K14" s="22"/>
    </row>
    <row r="15" spans="2:14" ht="15.6" thickTop="1" thickBot="1" x14ac:dyDescent="0.35">
      <c r="B15" s="80" t="s">
        <v>59</v>
      </c>
      <c r="C15" s="81"/>
      <c r="D15" s="81"/>
      <c r="E15" s="81"/>
      <c r="F15" s="117" t="s">
        <v>60</v>
      </c>
      <c r="G15" s="118"/>
      <c r="H15" s="80" t="s">
        <v>61</v>
      </c>
      <c r="I15" s="81"/>
      <c r="J15" s="81"/>
      <c r="K15" s="81"/>
      <c r="L15" s="82"/>
      <c r="M15" s="87" t="s">
        <v>62</v>
      </c>
      <c r="N15" s="88"/>
    </row>
    <row r="16" spans="2:14" ht="15" thickTop="1" x14ac:dyDescent="0.3">
      <c r="B16" s="86" t="s">
        <v>63</v>
      </c>
      <c r="C16" s="90" t="s">
        <v>64</v>
      </c>
      <c r="D16" s="90" t="s">
        <v>65</v>
      </c>
      <c r="E16" s="92" t="s">
        <v>66</v>
      </c>
      <c r="F16" s="94" t="s">
        <v>67</v>
      </c>
      <c r="G16" s="96" t="s">
        <v>68</v>
      </c>
      <c r="H16" s="98" t="s">
        <v>69</v>
      </c>
      <c r="I16" s="90" t="s">
        <v>63</v>
      </c>
      <c r="J16" s="90" t="s">
        <v>64</v>
      </c>
      <c r="K16" s="100" t="s">
        <v>70</v>
      </c>
      <c r="L16" s="83" t="s">
        <v>71</v>
      </c>
      <c r="M16" s="85" t="s">
        <v>72</v>
      </c>
      <c r="N16" s="97" t="s">
        <v>73</v>
      </c>
    </row>
    <row r="17" spans="2:14" x14ac:dyDescent="0.3">
      <c r="B17" s="89"/>
      <c r="C17" s="91"/>
      <c r="D17" s="91"/>
      <c r="E17" s="93"/>
      <c r="F17" s="95"/>
      <c r="G17" s="96"/>
      <c r="H17" s="99"/>
      <c r="I17" s="91"/>
      <c r="J17" s="91"/>
      <c r="K17" s="101"/>
      <c r="L17" s="84"/>
      <c r="M17" s="86"/>
      <c r="N17" s="94"/>
    </row>
    <row r="18" spans="2:14" x14ac:dyDescent="0.3">
      <c r="B18" s="25">
        <v>8</v>
      </c>
      <c r="C18" s="23">
        <v>8</v>
      </c>
      <c r="D18" s="23">
        <v>0</v>
      </c>
      <c r="E18" s="44">
        <v>1</v>
      </c>
      <c r="F18" s="24"/>
      <c r="G18" s="8" t="s">
        <v>74</v>
      </c>
      <c r="H18" s="7" t="s">
        <v>74</v>
      </c>
      <c r="I18" s="25">
        <f>SUM(J18:K18)</f>
        <v>0</v>
      </c>
      <c r="J18" s="23">
        <v>0</v>
      </c>
      <c r="K18" s="26">
        <v>0</v>
      </c>
      <c r="L18" s="27"/>
      <c r="M18" s="6" t="s">
        <v>74</v>
      </c>
      <c r="N18" s="28">
        <f>C18</f>
        <v>8</v>
      </c>
    </row>
  </sheetData>
  <mergeCells count="31">
    <mergeCell ref="F15:G15"/>
    <mergeCell ref="D1:G1"/>
    <mergeCell ref="B3:L3"/>
    <mergeCell ref="B4:B5"/>
    <mergeCell ref="I9:J9"/>
    <mergeCell ref="I5:J5"/>
    <mergeCell ref="K4:L4"/>
    <mergeCell ref="C6:C10"/>
    <mergeCell ref="E4:J4"/>
    <mergeCell ref="C4:C5"/>
    <mergeCell ref="D4:D5"/>
    <mergeCell ref="I6:J6"/>
    <mergeCell ref="I7:J7"/>
    <mergeCell ref="I10:J10"/>
    <mergeCell ref="I8:J8"/>
    <mergeCell ref="H15:L15"/>
    <mergeCell ref="L16:L17"/>
    <mergeCell ref="M16:M17"/>
    <mergeCell ref="M15:N15"/>
    <mergeCell ref="B16:B17"/>
    <mergeCell ref="C16:C17"/>
    <mergeCell ref="D16:D17"/>
    <mergeCell ref="E16:E17"/>
    <mergeCell ref="F16:F17"/>
    <mergeCell ref="G16:G17"/>
    <mergeCell ref="N16:N17"/>
    <mergeCell ref="H16:H17"/>
    <mergeCell ref="I16:I17"/>
    <mergeCell ref="K16:K17"/>
    <mergeCell ref="J16:J17"/>
    <mergeCell ref="B15:E15"/>
  </mergeCells>
  <phoneticPr fontId="1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2F5940-EC19-4D08-A8C2-FA31EF73407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94B7F00-F329-4E8F-A3EE-411E39CDE6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CFCB93-350B-4228-B7F4-DB12383611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2026-04-05T20:19:11Z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